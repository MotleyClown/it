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2e1d92e7950fbd/Desktop/Информационные технологии/"/>
    </mc:Choice>
  </mc:AlternateContent>
  <xr:revisionPtr revIDLastSave="18" documentId="8_{BAD7C3E9-0D47-480B-A98F-79E906F69F38}" xr6:coauthVersionLast="47" xr6:coauthVersionMax="47" xr10:uidLastSave="{70276F88-44A0-4DE0-8B91-8458462D9196}"/>
  <bookViews>
    <workbookView xWindow="-120" yWindow="-120" windowWidth="29040" windowHeight="15720" activeTab="1" xr2:uid="{C2896759-6A91-4D2E-A711-A8CFF15A76A8}"/>
  </bookViews>
  <sheets>
    <sheet name="Лист1" sheetId="1" r:id="rId1"/>
    <sheet name="Лист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B11" i="1"/>
  <c r="B10" i="1"/>
  <c r="B9" i="1"/>
  <c r="F7" i="1"/>
  <c r="D7" i="1"/>
  <c r="E7" i="1"/>
  <c r="B7" i="1"/>
  <c r="J2" i="1"/>
  <c r="E3" i="1"/>
  <c r="E4" i="1"/>
  <c r="F4" i="1" s="1"/>
  <c r="E5" i="1"/>
  <c r="E6" i="1"/>
  <c r="E2" i="1"/>
  <c r="F2" i="1"/>
  <c r="F3" i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<sst xmlns="http://schemas.openxmlformats.org/spreadsheetml/2006/main" count="28" uniqueCount="28">
  <si>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</si>
  <si>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</si>
  <si>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</si>
  <si>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</si>
  <si>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</si>
  <si>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</si>
  <si>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</t>
  </si>
  <si>
    <t>Петров П.П</t>
  </si>
  <si>
    <t>Сидоров С.С</t>
  </si>
  <si>
    <t>Кузнецова К.К</t>
  </si>
  <si>
    <t>Смирнов С.С</t>
  </si>
  <si>
    <t>№ п/п</t>
  </si>
  <si>
    <t>Ставка НДФЛ</t>
  </si>
  <si>
    <t>Коэффициент</t>
  </si>
  <si>
    <t>ИТОГО</t>
  </si>
  <si>
    <t>СРЕДНЯЯ ЗАРПЛАТА</t>
  </si>
  <si>
    <t>Максимум</t>
  </si>
  <si>
    <t>Минимум</t>
  </si>
  <si>
    <t>Товар</t>
  </si>
  <si>
    <t>Цена за ед.</t>
  </si>
  <si>
    <t>Количество</t>
  </si>
  <si>
    <t>Скидка (%)</t>
  </si>
  <si>
    <t>Стоимость</t>
  </si>
  <si>
    <t>Итого со скидкой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</si>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</sst>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₽-419]"/>
    <numFmt numFmtId="165" formatCode="&quot;£&quot;#,##0.00"/>
    <numFmt numFmtId="167" formatCode="_-* #,##0.00\ [$₽-419]_-;\-* #,##0.00\ [$₽-419]_-;_-* &quot;-&quot;??\ [$₽-419]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165" fontId="1" fillId="2" borderId="0" xfId="0" applyNumberFormat="1" applyFont="1" applyFill="1" applyAlignment="1">
      <alignment horizontal="center"/>
    </xf>
    <xf numFmtId="0" fontId="0" fillId="0" borderId="0" xfId="0" applyNumberFormat="1"/>
    <xf numFmtId="9" fontId="0" fillId="3" borderId="0" xfId="1" applyFont="1" applyFill="1"/>
    <xf numFmtId="0" fontId="3" fillId="0" borderId="0" xfId="0" applyFont="1"/>
    <xf numFmtId="0" fontId="1" fillId="2" borderId="0" xfId="0" applyFont="1" applyFill="1"/>
    <xf numFmtId="9" fontId="0" fillId="0" borderId="0" xfId="1" applyFont="1"/>
    <xf numFmtId="167" fontId="0" fillId="0" borderId="0" xfId="0" applyNumberFormat="1"/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866A-273F-4598-832E-991424958EAD}">
  <dimension ref="A1:J11"/>
  <sheetViews>
    <sheetView workbookViewId="0">
      <selection activeCell="E3" sqref="E3"/>
    </sheetView>
  </sheetViews>
  <sheetFormatPr defaultRowHeight="15" x14ac:dyDescent="0.25"/>
  <cols>
    <col min="1" max="1" width="21.5703125" customWidth="1"/>
    <col min="2" max="2" width="17.7109375" style="3" customWidth="1"/>
    <col min="3" max="3" width="12.140625" customWidth="1"/>
    <col min="4" max="4" width="15" style="3" customWidth="1"/>
    <col min="5" max="5" width="11.85546875" style="3" customWidth="1"/>
    <col min="6" max="6" width="12" style="3" customWidth="1"/>
    <col min="8" max="8" width="15.85546875" customWidth="1"/>
    <col min="9" max="9" width="21.570312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4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8" t="s">
        <v>13</v>
      </c>
    </row>
    <row r="2" spans="1:10" x14ac:dyDescent="0.25">
      <c r="A2" t="s">
        <v>6</v>
      </c>
      <c r="B2" s="3">
        <v>50000</v>
      </c>
      <c r="C2">
        <v>20</v>
      </c>
      <c r="D2" s="3">
        <f>B2*C2/100</f>
        <v>10000</v>
      </c>
      <c r="E2" s="3">
        <f>(B2+D2)*$H$2</f>
        <v>7800</v>
      </c>
      <c r="F2" s="3">
        <f>B2+D2-E2</f>
        <v>52200</v>
      </c>
      <c r="G2">
        <v>1</v>
      </c>
      <c r="H2" s="6">
        <v>0.13</v>
      </c>
      <c r="I2" s="9">
        <v>0.15</v>
      </c>
      <c r="J2" s="5">
        <f>B2*$I$2</f>
        <v>7500</v>
      </c>
    </row>
    <row r="3" spans="1:10" x14ac:dyDescent="0.25">
      <c r="A3" t="s">
        <v>7</v>
      </c>
      <c r="B3" s="3">
        <v>45000</v>
      </c>
      <c r="C3">
        <v>15</v>
      </c>
      <c r="D3" s="3">
        <f>B3*C3/100</f>
        <v>6750</v>
      </c>
      <c r="E3" s="3">
        <f t="shared" ref="E3:E6" si="0">(B3+D3)*$H$2</f>
        <v>6727.5</v>
      </c>
      <c r="F3" s="3">
        <f>B3+D3-E3</f>
        <v>45022.5</v>
      </c>
      <c r="G3">
        <v>2</v>
      </c>
    </row>
    <row r="4" spans="1:10" x14ac:dyDescent="0.25">
      <c r="A4" t="s">
        <v>8</v>
      </c>
      <c r="B4" s="3">
        <v>60000</v>
      </c>
      <c r="C4">
        <v>25</v>
      </c>
      <c r="D4" s="3">
        <f>B4*C4/100</f>
        <v>15000</v>
      </c>
      <c r="E4" s="3">
        <f t="shared" si="0"/>
        <v>9750</v>
      </c>
      <c r="F4" s="3">
        <f>B4+D4-E4</f>
        <v>65250</v>
      </c>
      <c r="G4">
        <v>3</v>
      </c>
    </row>
    <row r="5" spans="1:10" x14ac:dyDescent="0.25">
      <c r="A5" t="s">
        <v>9</v>
      </c>
      <c r="B5" s="3">
        <v>55000</v>
      </c>
      <c r="C5">
        <v>10</v>
      </c>
      <c r="D5" s="3">
        <f>B5*C5/100</f>
        <v>5500</v>
      </c>
      <c r="E5" s="3">
        <f t="shared" si="0"/>
        <v>7865</v>
      </c>
      <c r="F5" s="3">
        <f>B5+D5-E5</f>
        <v>52635</v>
      </c>
      <c r="G5">
        <v>4</v>
      </c>
    </row>
    <row r="6" spans="1:10" x14ac:dyDescent="0.25">
      <c r="A6" t="s">
        <v>10</v>
      </c>
      <c r="B6" s="3">
        <v>40000</v>
      </c>
      <c r="C6">
        <v>30</v>
      </c>
      <c r="D6" s="3">
        <f>B6*C6/100</f>
        <v>12000</v>
      </c>
      <c r="E6" s="3">
        <f t="shared" si="0"/>
        <v>6760</v>
      </c>
      <c r="F6" s="3">
        <f>B6+D6-E6</f>
        <v>45240</v>
      </c>
      <c r="G6">
        <v>5</v>
      </c>
    </row>
    <row r="7" spans="1:10" x14ac:dyDescent="0.25">
      <c r="A7" s="7" t="s">
        <v>14</v>
      </c>
      <c r="B7" s="3">
        <f>SUM(B2:B6)</f>
        <v>250000</v>
      </c>
      <c r="C7" s="3"/>
      <c r="D7" s="3">
        <f t="shared" ref="C7:F7" si="1">SUM(D2:D6)</f>
        <v>49250</v>
      </c>
      <c r="E7" s="3">
        <f t="shared" si="1"/>
        <v>38902.5</v>
      </c>
      <c r="F7" s="3">
        <f t="shared" si="1"/>
        <v>260347.5</v>
      </c>
    </row>
    <row r="9" spans="1:10" x14ac:dyDescent="0.25">
      <c r="A9" s="7" t="s">
        <v>15</v>
      </c>
      <c r="B9" s="3">
        <f>AVERAGE(F2:F6)</f>
        <v>52069.5</v>
      </c>
    </row>
    <row r="10" spans="1:10" x14ac:dyDescent="0.25">
      <c r="A10" s="7" t="s">
        <v>16</v>
      </c>
      <c r="B10" s="3">
        <f>MAX(F2:F6)</f>
        <v>65250</v>
      </c>
    </row>
    <row r="11" spans="1:10" x14ac:dyDescent="0.25">
      <c r="A11" s="7" t="s">
        <v>17</v>
      </c>
      <c r="B11" s="3">
        <f>MIN(F2:F6)</f>
        <v>45022.5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7239-699A-48DD-931B-8D842825C215}">
  <dimension ref="A1:F5"/>
  <sheetViews>
    <sheetView tabSelected="1" workbookViewId="0">
      <selection activeCell="F3" sqref="F3"/>
    </sheetView>
  </sheetViews>
  <sheetFormatPr defaultRowHeight="15" x14ac:dyDescent="0.25"/>
  <cols>
    <col min="1" max="1" width="23.140625" customWidth="1"/>
    <col min="2" max="2" width="23.7109375" customWidth="1"/>
    <col min="3" max="3" width="27.5703125" customWidth="1"/>
    <col min="4" max="4" width="22" customWidth="1"/>
    <col min="5" max="5" width="24.42578125" customWidth="1"/>
    <col min="6" max="6" width="21.140625" customWidth="1"/>
    <col min="7" max="7" width="23.8554687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 t="s">
        <v>24</v>
      </c>
      <c r="B2" s="10">
        <v>45000</v>
      </c>
      <c r="C2">
        <v>5</v>
      </c>
      <c r="D2" s="11">
        <v>0.05</v>
      </c>
      <c r="F2" s="10">
        <f>B2*C2 -(B2*C2/100*5)</f>
        <v>213750</v>
      </c>
    </row>
    <row r="3" spans="1:6" x14ac:dyDescent="0.25">
      <c r="A3" t="s">
        <v>25</v>
      </c>
      <c r="B3" s="10">
        <v>18000</v>
      </c>
      <c r="C3">
        <v>10</v>
      </c>
      <c r="D3" s="11">
        <v>0.03</v>
      </c>
      <c r="F3" s="10">
        <f t="shared" ref="F3:F5" si="0">B3*C3 -(B3*C3/100*5)</f>
        <v>171000</v>
      </c>
    </row>
    <row r="4" spans="1:6" x14ac:dyDescent="0.25">
      <c r="A4" t="s">
        <v>26</v>
      </c>
      <c r="B4" s="10">
        <v>1500</v>
      </c>
      <c r="C4">
        <v>25</v>
      </c>
      <c r="D4" s="11">
        <v>0.1</v>
      </c>
      <c r="F4" s="10"/>
    </row>
    <row r="5" spans="1:6" x14ac:dyDescent="0.25">
      <c r="A5" t="s">
        <v>27</v>
      </c>
      <c r="B5" s="10">
        <v>800</v>
      </c>
      <c r="C5">
        <v>30</v>
      </c>
      <c r="D5" s="11">
        <v>7.0000000000000007E-2</v>
      </c>
      <c r="F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Meshaev</dc:creator>
  <cp:lastModifiedBy>Bogdan Meshaev</cp:lastModifiedBy>
  <dcterms:created xsi:type="dcterms:W3CDTF">2026-09-22T08:09:16Z</dcterms:created>
  <dcterms:modified xsi:type="dcterms:W3CDTF">2026-09-29T09:28:13Z</dcterms:modified>
</cp:coreProperties>
</file>